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AAD8697-1D54-41AC-BFBB-5CB2BAC0F7F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definedNames>
    <definedName name="_xlnm._FilterDatabase" localSheetId="0" hidden="1">Sheet1!$A$7:$I$57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1" l="1"/>
  <c r="G8" i="1"/>
  <c r="F8" i="1"/>
  <c r="K9" i="1"/>
  <c r="E37" i="1"/>
  <c r="F37" i="1"/>
  <c r="E38" i="1"/>
  <c r="F38" i="1"/>
  <c r="E39" i="1"/>
  <c r="F39" i="1"/>
  <c r="E40" i="1"/>
  <c r="F40" i="1"/>
  <c r="E25" i="1"/>
  <c r="K3" i="1" a="1"/>
  <c r="K3" i="1" s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6" i="1"/>
  <c r="E27" i="1"/>
  <c r="E28" i="1"/>
  <c r="E29" i="1"/>
  <c r="E30" i="1"/>
  <c r="E31" i="1"/>
  <c r="E32" i="1"/>
  <c r="E33" i="1"/>
  <c r="E34" i="1"/>
  <c r="E35" i="1"/>
  <c r="E36" i="1"/>
  <c r="E8" i="1"/>
  <c r="E7" i="1" a="1"/>
  <c r="E7" i="1" s="1"/>
  <c r="G19" i="1" l="1"/>
  <c r="H19" i="1" s="1"/>
  <c r="G39" i="1"/>
  <c r="H39" i="1" s="1"/>
  <c r="G38" i="1"/>
  <c r="H38" i="1" s="1"/>
  <c r="G40" i="1"/>
  <c r="H40" i="1" s="1"/>
  <c r="G37" i="1"/>
  <c r="H37" i="1" s="1"/>
  <c r="G25" i="1"/>
  <c r="H25" i="1" s="1"/>
  <c r="G28" i="1"/>
  <c r="H28" i="1" s="1"/>
  <c r="G30" i="1"/>
  <c r="H30" i="1" s="1"/>
  <c r="G21" i="1"/>
  <c r="H21" i="1" s="1"/>
  <c r="G29" i="1"/>
  <c r="G20" i="1"/>
  <c r="H20" i="1" s="1"/>
  <c r="G34" i="1"/>
  <c r="G17" i="1"/>
  <c r="G33" i="1"/>
  <c r="H33" i="1" s="1"/>
  <c r="G24" i="1"/>
  <c r="H24" i="1" s="1"/>
  <c r="G16" i="1"/>
  <c r="H16" i="1" s="1"/>
  <c r="G31" i="1"/>
  <c r="G32" i="1"/>
  <c r="G14" i="1"/>
  <c r="H14" i="1" s="1"/>
  <c r="G15" i="1"/>
  <c r="G22" i="1"/>
  <c r="G23" i="1"/>
  <c r="H23" i="1" s="1"/>
  <c r="G13" i="1"/>
  <c r="H13" i="1" s="1"/>
  <c r="G12" i="1"/>
  <c r="G36" i="1"/>
  <c r="H36" i="1" s="1"/>
  <c r="G11" i="1"/>
  <c r="H11" i="1" s="1"/>
  <c r="G35" i="1"/>
  <c r="G27" i="1"/>
  <c r="G18" i="1"/>
  <c r="G10" i="1"/>
  <c r="G26" i="1"/>
  <c r="G9" i="1"/>
  <c r="H17" i="1" l="1"/>
  <c r="H8" i="1"/>
  <c r="H15" i="1"/>
  <c r="H29" i="1"/>
  <c r="H34" i="1"/>
  <c r="H35" i="1"/>
  <c r="H27" i="1"/>
  <c r="H31" i="1"/>
  <c r="H12" i="1"/>
  <c r="H26" i="1"/>
  <c r="H10" i="1"/>
  <c r="H18" i="1"/>
  <c r="H22" i="1"/>
  <c r="H32" i="1"/>
  <c r="H9" i="1"/>
  <c r="L4" i="1" l="1"/>
  <c r="L3" i="1"/>
  <c r="L5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<sst xmlns="http://schemas.openxmlformats.org/spreadsheetml/2006/main" count="84" uniqueCount="51">
  <si>
    <t>Tons per month</t>
  </si>
  <si>
    <t>Mersin</t>
  </si>
  <si>
    <t>Tekirdağ</t>
  </si>
  <si>
    <t>Eskişehir</t>
  </si>
  <si>
    <t>x-coordinate</t>
  </si>
  <si>
    <t>y-coordinate</t>
  </si>
  <si>
    <t>Afşin A</t>
  </si>
  <si>
    <t>Afşin B</t>
  </si>
  <si>
    <t>Seyitömer</t>
  </si>
  <si>
    <t>Kangal</t>
  </si>
  <si>
    <t>Tunçbilek</t>
  </si>
  <si>
    <t>Çatalağzı</t>
  </si>
  <si>
    <t>Orhaneli</t>
  </si>
  <si>
    <t>Ambarlı DG</t>
  </si>
  <si>
    <t>Bursa DG</t>
  </si>
  <si>
    <t>Ambarlı Fuel</t>
  </si>
  <si>
    <t>Hopa Fuel</t>
  </si>
  <si>
    <t>Soma A-B</t>
  </si>
  <si>
    <t>Yatağan</t>
  </si>
  <si>
    <t>Yeniköy</t>
  </si>
  <si>
    <t>Kemerköy</t>
  </si>
  <si>
    <t>İskenderun Atlas</t>
  </si>
  <si>
    <t>İÇDAŞ Bekirli</t>
  </si>
  <si>
    <t>İÇDAŞ Biga</t>
  </si>
  <si>
    <t>Aksa Göynük</t>
  </si>
  <si>
    <t>Çan-2</t>
  </si>
  <si>
    <t>Yunus Emre</t>
  </si>
  <si>
    <t>Gebze Kombine</t>
  </si>
  <si>
    <t>Bandırma Kombine</t>
  </si>
  <si>
    <t>Kategori</t>
  </si>
  <si>
    <t>18 Mart (Çan)</t>
  </si>
  <si>
    <t>Kömür</t>
  </si>
  <si>
    <t>Doğalgaz</t>
  </si>
  <si>
    <t>Sıvı Yakıt</t>
  </si>
  <si>
    <t>Santral Sayısı</t>
  </si>
  <si>
    <t>Yakın Fabrika</t>
  </si>
  <si>
    <t>Santral</t>
  </si>
  <si>
    <t>Sayısı</t>
  </si>
  <si>
    <t>Toplam</t>
  </si>
  <si>
    <t>Sugözü (İSKEN) Termik Santrali</t>
  </si>
  <si>
    <t>ZETES 1-2-3 (Eren Enerji)</t>
  </si>
  <si>
    <t>EMBA Hunutlu Termik Santrali</t>
  </si>
  <si>
    <t>CENAL Termik Santrali (Cengiz-Alarko)</t>
  </si>
  <si>
    <t>Mesafe</t>
  </si>
  <si>
    <t>Fabrika Konumları</t>
  </si>
  <si>
    <t>Termik Santral</t>
  </si>
  <si>
    <t>İç Anadolu Doğalgaz Gama Enerji</t>
  </si>
  <si>
    <t>Emba Sugözü</t>
  </si>
  <si>
    <t>YunusEmre</t>
  </si>
  <si>
    <t>Çayırhan</t>
  </si>
  <si>
    <t>Yakınlık Hassasiyeti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</si>
</sst>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9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0070C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rgb="FF0070C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20"/>
      <color theme="10"/>
      <name val="Calibri"/>
      <family val="2"/>
      <scheme val="minor"/>
    </font>
    <font>
      <sz val="18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D9B3"/>
        <bgColor indexed="64"/>
      </patternFill>
    </fill>
    <fill>
      <patternFill patternType="solid">
        <fgColor rgb="FFCCFFE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164" fontId="0" fillId="0" borderId="0" xfId="0" applyNumberFormat="1"/>
    <xf numFmtId="0" fontId="1" fillId="0" borderId="0" xfId="0" applyFont="1" applyAlignment="1">
      <alignment wrapText="1"/>
    </xf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0" borderId="0" xfId="0" applyFont="1"/>
    <xf numFmtId="0" fontId="3" fillId="0" borderId="0" xfId="0" applyFont="1"/>
    <xf numFmtId="164" fontId="4" fillId="0" borderId="0" xfId="0" applyNumberFormat="1" applyFont="1"/>
    <xf numFmtId="0" fontId="3" fillId="0" borderId="1" xfId="0" applyFont="1" applyBorder="1" applyAlignment="1">
      <alignment wrapText="1"/>
    </xf>
    <xf numFmtId="0" fontId="4" fillId="0" borderId="1" xfId="0" applyFont="1" applyBorder="1"/>
    <xf numFmtId="0" fontId="4" fillId="2" borderId="1" xfId="0" applyFont="1" applyFill="1" applyBorder="1"/>
    <xf numFmtId="0" fontId="0" fillId="0" borderId="2" xfId="0" applyBorder="1"/>
    <xf numFmtId="0" fontId="6" fillId="3" borderId="1" xfId="0" applyFont="1" applyFill="1" applyBorder="1" applyAlignment="1">
      <alignment horizontal="center" vertical="center"/>
    </xf>
    <xf numFmtId="0" fontId="2" fillId="0" borderId="0" xfId="1"/>
    <xf numFmtId="0" fontId="7" fillId="0" borderId="1" xfId="1" applyFont="1" applyBorder="1"/>
    <xf numFmtId="0" fontId="4" fillId="4" borderId="1" xfId="0" applyFont="1" applyFill="1" applyBorder="1"/>
    <xf numFmtId="0" fontId="3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4">
    <dxf>
      <fill>
        <patternFill>
          <bgColor rgb="FFFF677D"/>
        </patternFill>
      </fill>
    </dxf>
    <dxf>
      <fill>
        <patternFill>
          <bgColor rgb="FF00FF99"/>
        </patternFill>
      </fill>
    </dxf>
    <dxf>
      <fill>
        <patternFill>
          <bgColor rgb="FFFF677D"/>
        </patternFill>
      </fill>
    </dxf>
    <dxf>
      <fill>
        <patternFill>
          <bgColor rgb="FFC6E0FF"/>
        </patternFill>
      </fill>
    </dxf>
    <dxf>
      <fill>
        <patternFill>
          <bgColor rgb="FFCCFFE5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D9B3"/>
        </patternFill>
      </fill>
    </dxf>
    <dxf>
      <fill>
        <patternFill>
          <bgColor rgb="FFC6E0FF"/>
        </patternFill>
      </fill>
    </dxf>
    <dxf>
      <fill>
        <patternFill>
          <bgColor rgb="FFCCFFE5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0FF"/>
        </patternFill>
      </fill>
    </dxf>
    <dxf>
      <fill>
        <patternFill>
          <bgColor rgb="FFCCFFE5"/>
        </patternFill>
      </fill>
    </dxf>
  </dxfs>
  <tableStyles count="0" defaultTableStyle="TableStyleMedium2" defaultPivotStyle="PivotStyleLight16"/>
  <colors>
    <mruColors>
      <color rgb="FFCCFFE5"/>
      <color rgb="FFC6EFCE"/>
      <color rgb="FFFF677D"/>
      <color rgb="FF00FF99"/>
      <color rgb="FFFFD9B3"/>
      <color rgb="FFC6E0FF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57"/>
  <sheetViews>
    <sheetView tabSelected="1" zoomScale="70" zoomScaleNormal="70" workbookViewId="0">
      <selection activeCell="K22" sqref="K22"/>
    </sheetView>
  </sheetViews>
  <sheetFormatPr defaultRowHeight="14.5" x14ac:dyDescent="0.35"/>
  <cols>
    <col min="1" max="1" width="41.81640625" bestFit="1" customWidth="1"/>
    <col min="2" max="3" width="15.6328125" bestFit="1" customWidth="1"/>
    <col min="4" max="4" width="0" hidden="1" customWidth="1"/>
    <col min="5" max="5" width="17.7265625" customWidth="1"/>
    <col min="6" max="6" width="14.7265625" customWidth="1"/>
    <col min="7" max="7" width="14" customWidth="1"/>
    <col min="8" max="8" width="16.81640625" customWidth="1"/>
    <col min="9" max="9" width="16.453125" customWidth="1"/>
    <col min="11" max="11" width="22.1796875" bestFit="1" customWidth="1"/>
    <col min="12" max="12" width="18.08984375" customWidth="1"/>
    <col min="13" max="13" width="11.54296875" customWidth="1"/>
    <col min="14" max="15" width="14.7265625" customWidth="1"/>
  </cols>
  <sheetData>
    <row r="1" spans="1:15" ht="23.5" x14ac:dyDescent="0.55000000000000004">
      <c r="A1" s="22" t="s">
        <v>44</v>
      </c>
      <c r="B1" s="22"/>
      <c r="C1" s="22"/>
      <c r="D1" s="10"/>
      <c r="E1" s="10"/>
      <c r="F1" s="10"/>
      <c r="G1" s="10"/>
      <c r="H1" s="10"/>
      <c r="I1" s="10"/>
      <c r="K1" s="23" t="s">
        <v>34</v>
      </c>
      <c r="L1" s="23"/>
      <c r="M1" s="3"/>
    </row>
    <row r="2" spans="1:15" ht="21" x14ac:dyDescent="0.45">
      <c r="A2" s="14"/>
      <c r="B2" s="13" t="s">
        <v>4</v>
      </c>
      <c r="C2" s="13" t="s">
        <v>5</v>
      </c>
      <c r="D2" s="10"/>
      <c r="E2" s="10"/>
      <c r="F2" s="10"/>
      <c r="G2" s="10"/>
      <c r="H2" s="10"/>
      <c r="I2" s="10"/>
      <c r="K2" s="7" t="s">
        <v>36</v>
      </c>
      <c r="L2" s="8" t="s">
        <v>37</v>
      </c>
      <c r="M2" s="2"/>
      <c r="N2" s="2"/>
      <c r="O2" s="2"/>
    </row>
    <row r="3" spans="1:15" ht="21" x14ac:dyDescent="0.45">
      <c r="A3" s="20" t="s">
        <v>3</v>
      </c>
      <c r="B3" s="20">
        <v>39.837899393328897</v>
      </c>
      <c r="C3" s="20">
        <v>30.3055743925174</v>
      </c>
      <c r="D3" s="10"/>
      <c r="E3" s="11"/>
      <c r="F3" s="10"/>
      <c r="G3" s="10"/>
      <c r="H3" s="10"/>
      <c r="I3" s="10"/>
      <c r="J3" s="16"/>
      <c r="K3" s="9" t="str" cm="1">
        <f t="array" ref="K3:K4">A3:A4</f>
        <v>Eskişehir</v>
      </c>
      <c r="L3" s="9">
        <f>COUNTIF($H$8:$H$74, "Eskişehir")</f>
        <v>25</v>
      </c>
      <c r="O3" s="1"/>
    </row>
    <row r="4" spans="1:15" ht="21" x14ac:dyDescent="0.45">
      <c r="A4" s="15" t="s">
        <v>1</v>
      </c>
      <c r="B4" s="15">
        <v>36.869653856984598</v>
      </c>
      <c r="C4" s="15">
        <v>34.766802057671804</v>
      </c>
      <c r="D4" s="10"/>
      <c r="E4" s="11"/>
      <c r="F4" s="10"/>
      <c r="G4" s="12"/>
      <c r="H4" s="10"/>
      <c r="I4" s="10"/>
      <c r="K4" s="9" t="str">
        <v>Mersin</v>
      </c>
      <c r="L4" s="9">
        <f>COUNTIF($H$8:$H$57, "Mersin")</f>
        <v>8</v>
      </c>
      <c r="O4" s="1"/>
    </row>
    <row r="5" spans="1:15" ht="21" x14ac:dyDescent="0.45">
      <c r="A5" s="10"/>
      <c r="B5" s="10"/>
      <c r="C5" s="10"/>
      <c r="D5" s="10"/>
      <c r="E5" s="10"/>
      <c r="F5" s="10"/>
      <c r="G5" s="10"/>
      <c r="H5" s="10"/>
      <c r="I5" s="10"/>
      <c r="K5" s="8" t="s">
        <v>38</v>
      </c>
      <c r="L5" s="9">
        <f>SUM(L3:L4)</f>
        <v>33</v>
      </c>
      <c r="O5" s="1"/>
    </row>
    <row r="6" spans="1:15" ht="18.5" x14ac:dyDescent="0.45">
      <c r="A6" s="10"/>
      <c r="B6" s="10"/>
      <c r="C6" s="10"/>
      <c r="D6" s="10"/>
      <c r="E6" s="21" t="s">
        <v>43</v>
      </c>
      <c r="F6" s="21"/>
      <c r="G6" s="21"/>
      <c r="H6" s="10"/>
      <c r="I6" s="10"/>
    </row>
    <row r="7" spans="1:15" ht="55.5" x14ac:dyDescent="0.35">
      <c r="A7" s="4" t="s">
        <v>45</v>
      </c>
      <c r="B7" s="5" t="s">
        <v>4</v>
      </c>
      <c r="C7" s="5" t="s">
        <v>5</v>
      </c>
      <c r="D7" s="5" t="s">
        <v>0</v>
      </c>
      <c r="E7" s="6" t="str" cm="1">
        <f t="array" ref="E7:F7">TRANSPOSE(A3:A4)</f>
        <v>Eskişehir</v>
      </c>
      <c r="F7" s="6" t="str">
        <v>Mersin</v>
      </c>
      <c r="G7" s="5" t="s">
        <v>35</v>
      </c>
      <c r="H7" s="5" t="s">
        <v>35</v>
      </c>
      <c r="I7" s="5" t="s">
        <v>29</v>
      </c>
      <c r="K7" s="8" t="s">
        <v>50</v>
      </c>
      <c r="L7" s="17">
        <v>100</v>
      </c>
    </row>
    <row r="8" spans="1:15" ht="18.5" x14ac:dyDescent="0.45">
      <c r="A8" s="14" t="s">
        <v>6</v>
      </c>
      <c r="B8" s="14">
        <v>38.247</v>
      </c>
      <c r="C8" s="14">
        <v>36.933</v>
      </c>
      <c r="D8" s="15">
        <v>632.9</v>
      </c>
      <c r="E8" s="14">
        <f t="shared" ref="E8:E40" si="0">ROUND(2*6371*ASIN(MIN(1,SQRT(SIN(RADIANS($B$3-B8)/2)^2 + COS(RADIANS(B8))*COS(RADIANS($B$3))*SIN(RADIANS($C$3-C8)/2)^2))),2)</f>
        <v>598.9</v>
      </c>
      <c r="F8" s="14">
        <f>ROUND(2*6371*ASIN(MIN(1,SQRT(SIN(RADIANS($B$4-B8)/2)^2 + COS(RADIANS(B8))*COS(RADIANS($B$4))*SIN(RADIANS($C$4-C8)/2)^2))),2)</f>
        <v>244.77</v>
      </c>
      <c r="G8" s="14">
        <f>MIN(E8, F8)</f>
        <v>244.77</v>
      </c>
      <c r="H8" s="14" t="str">
        <f>IF(G8=E8, $A$3, $A$4)</f>
        <v>Mersin</v>
      </c>
      <c r="I8" s="14" t="s">
        <v>31</v>
      </c>
    </row>
    <row r="9" spans="1:15" ht="26" x14ac:dyDescent="0.6">
      <c r="A9" s="14" t="s">
        <v>7</v>
      </c>
      <c r="B9" s="14">
        <v>38.247500000000002</v>
      </c>
      <c r="C9" s="14">
        <v>36.945</v>
      </c>
      <c r="D9" s="15">
        <v>329</v>
      </c>
      <c r="E9" s="14">
        <f>ROUND(2*6371*ASIN(MIN(1,SQRT(SIN(RADIANS($B$3-B9)/2)^2 + COS(RADIANS(B9))*COS(RADIANS($B$3))*SIN(RADIANS($C$3-C9)/2)^2))),2)</f>
        <v>599.87</v>
      </c>
      <c r="F9" s="14">
        <f t="shared" ref="F9:F40" si="1">ROUND(2*6371*ASIN(MIN(1,SQRT(SIN(RADIANS($B$4-B9)/2)^2 + COS(RADIANS(B9))*COS(RADIANS($B$4))*SIN(RADIANS($C$4-C9)/2)^2))),2)</f>
        <v>245.63</v>
      </c>
      <c r="G9" s="14">
        <f t="shared" ref="G9:G36" si="2">MIN(E9, F9)</f>
        <v>245.63</v>
      </c>
      <c r="H9" s="14" t="str">
        <f t="shared" ref="H9:H36" si="3">IF(G9=E9, $A$3, $A$4)</f>
        <v>Mersin</v>
      </c>
      <c r="I9" s="14" t="s">
        <v>31</v>
      </c>
      <c r="K9" s="19" t="str">
        <f>HYPERLINK("https://www.google.com/maps/d/u/0/edit?mid=1KeoKrb_Mo6CPtc6odMVoS4QIO3zU55M&amp;usp=sharing","Harita'da Aç")</f>
        <v>Harita'da Aç</v>
      </c>
    </row>
    <row r="10" spans="1:15" ht="18.5" x14ac:dyDescent="0.45">
      <c r="A10" s="14" t="s">
        <v>8</v>
      </c>
      <c r="B10" s="14">
        <v>39.424500000000002</v>
      </c>
      <c r="C10" s="14">
        <v>29.259</v>
      </c>
      <c r="D10" s="15">
        <v>294.7</v>
      </c>
      <c r="E10" s="14">
        <f t="shared" si="0"/>
        <v>100.73</v>
      </c>
      <c r="F10" s="14">
        <f t="shared" si="1"/>
        <v>559.02</v>
      </c>
      <c r="G10" s="14">
        <f t="shared" si="2"/>
        <v>100.73</v>
      </c>
      <c r="H10" s="14" t="str">
        <f t="shared" si="3"/>
        <v>Eskişehir</v>
      </c>
      <c r="I10" s="14" t="s">
        <v>31</v>
      </c>
      <c r="K10" s="18"/>
    </row>
    <row r="11" spans="1:15" ht="18.5" x14ac:dyDescent="0.45">
      <c r="A11" s="14" t="s">
        <v>10</v>
      </c>
      <c r="B11" s="14">
        <v>39.548999999999999</v>
      </c>
      <c r="C11" s="14">
        <v>29.606000000000002</v>
      </c>
      <c r="D11" s="15">
        <v>269.10000000000002</v>
      </c>
      <c r="E11" s="14">
        <f t="shared" si="0"/>
        <v>67.930000000000007</v>
      </c>
      <c r="F11" s="14">
        <f t="shared" si="1"/>
        <v>540.29999999999995</v>
      </c>
      <c r="G11" s="14">
        <f t="shared" si="2"/>
        <v>67.930000000000007</v>
      </c>
      <c r="H11" s="14" t="str">
        <f t="shared" si="3"/>
        <v>Eskişehir</v>
      </c>
      <c r="I11" s="14" t="s">
        <v>31</v>
      </c>
    </row>
    <row r="12" spans="1:15" ht="18.5" x14ac:dyDescent="0.45">
      <c r="A12" s="14" t="s">
        <v>11</v>
      </c>
      <c r="B12" s="14">
        <v>41.451999999999998</v>
      </c>
      <c r="C12" s="14">
        <v>31.760999999999999</v>
      </c>
      <c r="D12" s="15">
        <v>150.5</v>
      </c>
      <c r="E12" s="14">
        <f t="shared" si="0"/>
        <v>217.46</v>
      </c>
      <c r="F12" s="14">
        <f t="shared" si="1"/>
        <v>571.54999999999995</v>
      </c>
      <c r="G12" s="14">
        <f t="shared" si="2"/>
        <v>217.46</v>
      </c>
      <c r="H12" s="14" t="str">
        <f t="shared" si="3"/>
        <v>Eskişehir</v>
      </c>
      <c r="I12" s="14" t="s">
        <v>31</v>
      </c>
    </row>
    <row r="13" spans="1:15" ht="18.5" x14ac:dyDescent="0.45">
      <c r="A13" s="14" t="s">
        <v>12</v>
      </c>
      <c r="B13" s="14">
        <v>39.902999999999999</v>
      </c>
      <c r="C13" s="14">
        <v>28.99</v>
      </c>
      <c r="D13" s="15">
        <v>145.19999999999999</v>
      </c>
      <c r="E13" s="14">
        <f t="shared" si="0"/>
        <v>112.51</v>
      </c>
      <c r="F13" s="14">
        <f t="shared" si="1"/>
        <v>605.83000000000004</v>
      </c>
      <c r="G13" s="14">
        <f t="shared" si="2"/>
        <v>112.51</v>
      </c>
      <c r="H13" s="14" t="str">
        <f t="shared" si="3"/>
        <v>Eskişehir</v>
      </c>
      <c r="I13" s="14" t="s">
        <v>31</v>
      </c>
    </row>
    <row r="14" spans="1:15" ht="18.5" x14ac:dyDescent="0.45">
      <c r="A14" s="14" t="s">
        <v>9</v>
      </c>
      <c r="B14" s="14">
        <v>39.234000000000002</v>
      </c>
      <c r="C14" s="14">
        <v>37.390999999999998</v>
      </c>
      <c r="D14" s="15">
        <v>139.4</v>
      </c>
      <c r="E14" s="14">
        <f t="shared" si="0"/>
        <v>611.15</v>
      </c>
      <c r="F14" s="14">
        <f t="shared" si="1"/>
        <v>349.13</v>
      </c>
      <c r="G14" s="14">
        <f t="shared" si="2"/>
        <v>349.13</v>
      </c>
      <c r="H14" s="14" t="str">
        <f t="shared" si="3"/>
        <v>Mersin</v>
      </c>
      <c r="I14" s="14" t="s">
        <v>31</v>
      </c>
    </row>
    <row r="15" spans="1:15" ht="18.5" x14ac:dyDescent="0.45">
      <c r="A15" s="14" t="s">
        <v>30</v>
      </c>
      <c r="B15" s="14">
        <v>40.033000000000001</v>
      </c>
      <c r="C15" s="14">
        <v>27.050999999999998</v>
      </c>
      <c r="D15" s="15">
        <v>111.5</v>
      </c>
      <c r="E15" s="14">
        <f t="shared" si="0"/>
        <v>278.32</v>
      </c>
      <c r="F15" s="14">
        <f t="shared" si="1"/>
        <v>758.01</v>
      </c>
      <c r="G15" s="14">
        <f t="shared" si="2"/>
        <v>278.32</v>
      </c>
      <c r="H15" s="14" t="str">
        <f t="shared" si="3"/>
        <v>Eskişehir</v>
      </c>
      <c r="I15" s="14" t="s">
        <v>31</v>
      </c>
    </row>
    <row r="16" spans="1:15" ht="18.5" x14ac:dyDescent="0.45">
      <c r="A16" s="14" t="s">
        <v>17</v>
      </c>
      <c r="B16" s="14">
        <v>39.185000000000002</v>
      </c>
      <c r="C16" s="14">
        <v>27.609000000000002</v>
      </c>
      <c r="D16" s="15">
        <v>62.2</v>
      </c>
      <c r="E16" s="14">
        <f t="shared" si="0"/>
        <v>242.44</v>
      </c>
      <c r="F16" s="14">
        <f t="shared" si="1"/>
        <v>677.5</v>
      </c>
      <c r="G16" s="14">
        <f t="shared" si="2"/>
        <v>242.44</v>
      </c>
      <c r="H16" s="14" t="str">
        <f t="shared" si="3"/>
        <v>Eskişehir</v>
      </c>
      <c r="I16" s="14" t="s">
        <v>31</v>
      </c>
    </row>
    <row r="17" spans="1:9" ht="18.5" x14ac:dyDescent="0.45">
      <c r="A17" s="14" t="s">
        <v>18</v>
      </c>
      <c r="B17" s="14">
        <v>37.340000000000003</v>
      </c>
      <c r="C17" s="14">
        <v>28.143999999999998</v>
      </c>
      <c r="D17" s="15">
        <v>40.1</v>
      </c>
      <c r="E17" s="14">
        <f t="shared" si="0"/>
        <v>335.3</v>
      </c>
      <c r="F17" s="14">
        <f t="shared" si="1"/>
        <v>589.52</v>
      </c>
      <c r="G17" s="14">
        <f t="shared" si="2"/>
        <v>335.3</v>
      </c>
      <c r="H17" s="14" t="str">
        <f t="shared" si="3"/>
        <v>Eskişehir</v>
      </c>
      <c r="I17" s="14" t="s">
        <v>31</v>
      </c>
    </row>
    <row r="18" spans="1:9" ht="18.5" x14ac:dyDescent="0.45">
      <c r="A18" s="14" t="s">
        <v>19</v>
      </c>
      <c r="B18" s="14">
        <v>37.262999999999998</v>
      </c>
      <c r="C18" s="14">
        <v>27.847000000000001</v>
      </c>
      <c r="D18" s="15">
        <v>38</v>
      </c>
      <c r="E18" s="14">
        <f t="shared" si="0"/>
        <v>357.3</v>
      </c>
      <c r="F18" s="14">
        <f t="shared" si="1"/>
        <v>615.39</v>
      </c>
      <c r="G18" s="14">
        <f t="shared" si="2"/>
        <v>357.3</v>
      </c>
      <c r="H18" s="14" t="str">
        <f t="shared" si="3"/>
        <v>Eskişehir</v>
      </c>
      <c r="I18" s="14" t="s">
        <v>31</v>
      </c>
    </row>
    <row r="19" spans="1:9" ht="18.5" x14ac:dyDescent="0.45">
      <c r="A19" s="14" t="s">
        <v>20</v>
      </c>
      <c r="B19" s="14">
        <v>37.270000000000003</v>
      </c>
      <c r="C19" s="14">
        <v>27.838000000000001</v>
      </c>
      <c r="D19" s="15">
        <v>37</v>
      </c>
      <c r="E19" s="14">
        <f t="shared" si="0"/>
        <v>357.14</v>
      </c>
      <c r="F19" s="14">
        <f t="shared" si="1"/>
        <v>616.21</v>
      </c>
      <c r="G19" s="14">
        <f t="shared" si="2"/>
        <v>357.14</v>
      </c>
      <c r="H19" s="14" t="str">
        <f t="shared" si="3"/>
        <v>Eskişehir</v>
      </c>
      <c r="I19" s="14" t="s">
        <v>31</v>
      </c>
    </row>
    <row r="20" spans="1:9" ht="18.5" x14ac:dyDescent="0.45">
      <c r="A20" s="14" t="s">
        <v>21</v>
      </c>
      <c r="B20" s="14">
        <v>36.944000000000003</v>
      </c>
      <c r="C20" s="14">
        <v>36.188000000000002</v>
      </c>
      <c r="D20" s="15">
        <v>32</v>
      </c>
      <c r="E20" s="14">
        <f t="shared" si="0"/>
        <v>605.09</v>
      </c>
      <c r="F20" s="14">
        <f t="shared" si="1"/>
        <v>126.63</v>
      </c>
      <c r="G20" s="14">
        <f t="shared" si="2"/>
        <v>126.63</v>
      </c>
      <c r="H20" s="14" t="str">
        <f t="shared" si="3"/>
        <v>Mersin</v>
      </c>
      <c r="I20" s="14" t="s">
        <v>31</v>
      </c>
    </row>
    <row r="21" spans="1:9" ht="18.5" x14ac:dyDescent="0.45">
      <c r="A21" s="14" t="s">
        <v>22</v>
      </c>
      <c r="B21" s="14">
        <v>40.04</v>
      </c>
      <c r="C21" s="14">
        <v>26.36</v>
      </c>
      <c r="D21" s="15">
        <v>28.8</v>
      </c>
      <c r="E21" s="14">
        <f t="shared" si="0"/>
        <v>337.11</v>
      </c>
      <c r="F21" s="14">
        <f t="shared" si="1"/>
        <v>812.02</v>
      </c>
      <c r="G21" s="14">
        <f t="shared" si="2"/>
        <v>337.11</v>
      </c>
      <c r="H21" s="14" t="str">
        <f t="shared" si="3"/>
        <v>Eskişehir</v>
      </c>
      <c r="I21" s="14" t="s">
        <v>31</v>
      </c>
    </row>
    <row r="22" spans="1:9" ht="18.5" x14ac:dyDescent="0.45">
      <c r="A22" s="14" t="s">
        <v>23</v>
      </c>
      <c r="B22" s="14">
        <v>40.270000000000003</v>
      </c>
      <c r="C22" s="14">
        <v>27.242000000000001</v>
      </c>
      <c r="D22" s="15">
        <v>28.4</v>
      </c>
      <c r="E22" s="14">
        <f t="shared" si="0"/>
        <v>265.13</v>
      </c>
      <c r="F22" s="14">
        <f t="shared" si="1"/>
        <v>755.19</v>
      </c>
      <c r="G22" s="14">
        <f t="shared" si="2"/>
        <v>265.13</v>
      </c>
      <c r="H22" s="14" t="str">
        <f t="shared" si="3"/>
        <v>Eskişehir</v>
      </c>
      <c r="I22" s="14" t="s">
        <v>31</v>
      </c>
    </row>
    <row r="23" spans="1:9" ht="18.5" x14ac:dyDescent="0.45">
      <c r="A23" s="14" t="s">
        <v>24</v>
      </c>
      <c r="B23" s="14">
        <v>40.405999999999999</v>
      </c>
      <c r="C23" s="14">
        <v>30.789000000000001</v>
      </c>
      <c r="D23" s="15">
        <v>26.7</v>
      </c>
      <c r="E23" s="14">
        <f t="shared" si="0"/>
        <v>75.37</v>
      </c>
      <c r="F23" s="14">
        <f t="shared" si="1"/>
        <v>523.32000000000005</v>
      </c>
      <c r="G23" s="14">
        <f t="shared" si="2"/>
        <v>75.37</v>
      </c>
      <c r="H23" s="14" t="str">
        <f t="shared" si="3"/>
        <v>Eskişehir</v>
      </c>
      <c r="I23" s="14" t="s">
        <v>31</v>
      </c>
    </row>
    <row r="24" spans="1:9" ht="18.5" x14ac:dyDescent="0.45">
      <c r="A24" s="14" t="s">
        <v>25</v>
      </c>
      <c r="B24" s="14">
        <v>40.033499999999997</v>
      </c>
      <c r="C24" s="14">
        <v>27.05</v>
      </c>
      <c r="D24" s="15">
        <v>24.8</v>
      </c>
      <c r="E24" s="14">
        <f t="shared" si="0"/>
        <v>278.41000000000003</v>
      </c>
      <c r="F24" s="14">
        <f t="shared" si="1"/>
        <v>758.11</v>
      </c>
      <c r="G24" s="14">
        <f t="shared" si="2"/>
        <v>278.41000000000003</v>
      </c>
      <c r="H24" s="14" t="str">
        <f t="shared" si="3"/>
        <v>Eskişehir</v>
      </c>
      <c r="I24" s="14" t="s">
        <v>31</v>
      </c>
    </row>
    <row r="25" spans="1:9" ht="18.5" hidden="1" x14ac:dyDescent="0.45">
      <c r="A25" s="14" t="s">
        <v>46</v>
      </c>
      <c r="B25" s="14">
        <v>39.7575</v>
      </c>
      <c r="C25" s="14">
        <v>33.448</v>
      </c>
      <c r="D25" s="15">
        <v>15</v>
      </c>
      <c r="E25" s="14">
        <f t="shared" si="0"/>
        <v>268.60000000000002</v>
      </c>
      <c r="F25" s="14">
        <f t="shared" si="1"/>
        <v>341.09</v>
      </c>
      <c r="G25" s="14">
        <f>MIN(E25, F25)</f>
        <v>268.60000000000002</v>
      </c>
      <c r="H25" s="14" t="str">
        <f>IF(G25=E25, $A$3, $A$4)</f>
        <v>Eskişehir</v>
      </c>
      <c r="I25" s="14" t="s">
        <v>32</v>
      </c>
    </row>
    <row r="26" spans="1:9" ht="18.5" x14ac:dyDescent="0.45">
      <c r="A26" s="14" t="s">
        <v>26</v>
      </c>
      <c r="B26" s="14">
        <v>39.383000000000003</v>
      </c>
      <c r="C26" s="14">
        <v>31.041</v>
      </c>
      <c r="D26" s="15">
        <v>24.5</v>
      </c>
      <c r="E26" s="14">
        <f t="shared" si="0"/>
        <v>80.790000000000006</v>
      </c>
      <c r="F26" s="14">
        <f t="shared" si="1"/>
        <v>429.25</v>
      </c>
      <c r="G26" s="14">
        <f t="shared" si="2"/>
        <v>80.790000000000006</v>
      </c>
      <c r="H26" s="14" t="str">
        <f t="shared" si="3"/>
        <v>Eskişehir</v>
      </c>
      <c r="I26" s="14" t="s">
        <v>31</v>
      </c>
    </row>
    <row r="27" spans="1:9" ht="18.5" hidden="1" x14ac:dyDescent="0.45">
      <c r="A27" s="14" t="s">
        <v>14</v>
      </c>
      <c r="B27" s="14">
        <v>40.2669</v>
      </c>
      <c r="C27" s="14">
        <v>29.063400000000001</v>
      </c>
      <c r="D27" s="15">
        <v>21.4</v>
      </c>
      <c r="E27" s="14">
        <f t="shared" si="0"/>
        <v>115.99</v>
      </c>
      <c r="F27" s="14">
        <f t="shared" si="1"/>
        <v>623.12</v>
      </c>
      <c r="G27" s="14">
        <f t="shared" si="2"/>
        <v>115.99</v>
      </c>
      <c r="H27" s="14" t="str">
        <f t="shared" si="3"/>
        <v>Eskişehir</v>
      </c>
      <c r="I27" s="14" t="s">
        <v>32</v>
      </c>
    </row>
    <row r="28" spans="1:9" ht="18.5" hidden="1" x14ac:dyDescent="0.45">
      <c r="A28" s="14" t="s">
        <v>13</v>
      </c>
      <c r="B28" s="14">
        <v>40.978999999999999</v>
      </c>
      <c r="C28" s="14">
        <v>28.695</v>
      </c>
      <c r="D28" s="15">
        <v>21</v>
      </c>
      <c r="E28" s="14">
        <f t="shared" si="0"/>
        <v>186.26</v>
      </c>
      <c r="F28" s="14">
        <f t="shared" si="1"/>
        <v>695.87</v>
      </c>
      <c r="G28" s="14">
        <f t="shared" si="2"/>
        <v>186.26</v>
      </c>
      <c r="H28" s="14" t="str">
        <f t="shared" si="3"/>
        <v>Eskişehir</v>
      </c>
      <c r="I28" s="14" t="s">
        <v>32</v>
      </c>
    </row>
    <row r="29" spans="1:9" ht="18.5" hidden="1" x14ac:dyDescent="0.45">
      <c r="A29" s="14" t="s">
        <v>27</v>
      </c>
      <c r="B29" s="14">
        <v>40.799999999999997</v>
      </c>
      <c r="C29" s="14">
        <v>29.43</v>
      </c>
      <c r="D29" s="15">
        <v>20.100000000000001</v>
      </c>
      <c r="E29" s="14">
        <f t="shared" si="0"/>
        <v>130.21</v>
      </c>
      <c r="F29" s="14">
        <f t="shared" si="1"/>
        <v>635.9</v>
      </c>
      <c r="G29" s="14">
        <f t="shared" si="2"/>
        <v>130.21</v>
      </c>
      <c r="H29" s="14" t="str">
        <f t="shared" si="3"/>
        <v>Eskişehir</v>
      </c>
      <c r="I29" s="14" t="s">
        <v>32</v>
      </c>
    </row>
    <row r="30" spans="1:9" ht="18.5" hidden="1" x14ac:dyDescent="0.45">
      <c r="A30" s="14" t="s">
        <v>28</v>
      </c>
      <c r="B30" s="14">
        <v>40.351999999999997</v>
      </c>
      <c r="C30" s="14">
        <v>27.975999999999999</v>
      </c>
      <c r="D30" s="15">
        <v>19.7</v>
      </c>
      <c r="E30" s="14">
        <f t="shared" si="0"/>
        <v>206.23</v>
      </c>
      <c r="F30" s="14">
        <f t="shared" si="1"/>
        <v>705.42</v>
      </c>
      <c r="G30" s="14">
        <f t="shared" si="2"/>
        <v>206.23</v>
      </c>
      <c r="H30" s="14" t="str">
        <f t="shared" si="3"/>
        <v>Eskişehir</v>
      </c>
      <c r="I30" s="14" t="s">
        <v>32</v>
      </c>
    </row>
    <row r="31" spans="1:9" ht="18.5" hidden="1" x14ac:dyDescent="0.45">
      <c r="A31" s="14" t="s">
        <v>15</v>
      </c>
      <c r="B31" s="14">
        <v>40.979500000000002</v>
      </c>
      <c r="C31" s="14">
        <v>28.696999999999999</v>
      </c>
      <c r="D31" s="15">
        <v>17.7</v>
      </c>
      <c r="E31" s="14">
        <f t="shared" si="0"/>
        <v>186.17</v>
      </c>
      <c r="F31" s="14">
        <f t="shared" si="1"/>
        <v>695.77</v>
      </c>
      <c r="G31" s="14">
        <f t="shared" si="2"/>
        <v>186.17</v>
      </c>
      <c r="H31" s="14" t="str">
        <f t="shared" si="3"/>
        <v>Eskişehir</v>
      </c>
      <c r="I31" s="14" t="s">
        <v>33</v>
      </c>
    </row>
    <row r="32" spans="1:9" ht="18.5" hidden="1" x14ac:dyDescent="0.45">
      <c r="A32" s="14" t="s">
        <v>16</v>
      </c>
      <c r="B32" s="14">
        <v>41.390999999999998</v>
      </c>
      <c r="C32" s="14">
        <v>41.418999999999997</v>
      </c>
      <c r="D32" s="15">
        <v>16.8</v>
      </c>
      <c r="E32" s="14">
        <f t="shared" si="0"/>
        <v>953.13</v>
      </c>
      <c r="F32" s="14">
        <f t="shared" si="1"/>
        <v>762.45</v>
      </c>
      <c r="G32" s="14">
        <f t="shared" si="2"/>
        <v>762.45</v>
      </c>
      <c r="H32" s="14" t="str">
        <f t="shared" si="3"/>
        <v>Mersin</v>
      </c>
      <c r="I32" s="14" t="s">
        <v>33</v>
      </c>
    </row>
    <row r="33" spans="1:9" ht="18.5" x14ac:dyDescent="0.45">
      <c r="A33" s="14" t="s">
        <v>39</v>
      </c>
      <c r="B33" s="14">
        <v>36.965000000000003</v>
      </c>
      <c r="C33" s="14">
        <v>36.119999999999997</v>
      </c>
      <c r="D33" s="15">
        <v>16.7</v>
      </c>
      <c r="E33" s="14">
        <f t="shared" si="0"/>
        <v>598.77</v>
      </c>
      <c r="F33" s="14">
        <f t="shared" si="1"/>
        <v>120.77</v>
      </c>
      <c r="G33" s="14">
        <f t="shared" si="2"/>
        <v>120.77</v>
      </c>
      <c r="H33" s="14" t="str">
        <f t="shared" si="3"/>
        <v>Mersin</v>
      </c>
      <c r="I33" s="14" t="s">
        <v>31</v>
      </c>
    </row>
    <row r="34" spans="1:9" ht="18.5" x14ac:dyDescent="0.45">
      <c r="A34" s="14" t="s">
        <v>40</v>
      </c>
      <c r="B34" s="14">
        <v>41.456000000000003</v>
      </c>
      <c r="C34" s="14">
        <v>31.757000000000001</v>
      </c>
      <c r="D34" s="15">
        <v>15.7</v>
      </c>
      <c r="E34" s="14">
        <f t="shared" si="0"/>
        <v>217.63</v>
      </c>
      <c r="F34" s="14">
        <f t="shared" si="1"/>
        <v>572.1</v>
      </c>
      <c r="G34" s="14">
        <f t="shared" si="2"/>
        <v>217.63</v>
      </c>
      <c r="H34" s="14" t="str">
        <f t="shared" si="3"/>
        <v>Eskişehir</v>
      </c>
      <c r="I34" s="14" t="s">
        <v>31</v>
      </c>
    </row>
    <row r="35" spans="1:9" ht="18.5" x14ac:dyDescent="0.45">
      <c r="A35" s="14" t="s">
        <v>41</v>
      </c>
      <c r="B35" s="14">
        <v>36.9</v>
      </c>
      <c r="C35" s="14">
        <v>35.89</v>
      </c>
      <c r="D35" s="15">
        <v>15.7</v>
      </c>
      <c r="E35" s="14">
        <f t="shared" si="0"/>
        <v>586.11</v>
      </c>
      <c r="F35" s="14">
        <f t="shared" si="1"/>
        <v>99.95</v>
      </c>
      <c r="G35" s="14">
        <f t="shared" si="2"/>
        <v>99.95</v>
      </c>
      <c r="H35" s="14" t="str">
        <f t="shared" si="3"/>
        <v>Mersin</v>
      </c>
      <c r="I35" s="14" t="s">
        <v>31</v>
      </c>
    </row>
    <row r="36" spans="1:9" ht="18.5" x14ac:dyDescent="0.45">
      <c r="A36" s="14" t="s">
        <v>42</v>
      </c>
      <c r="B36" s="14">
        <v>40.384999999999998</v>
      </c>
      <c r="C36" s="14">
        <v>27.3</v>
      </c>
      <c r="D36" s="15">
        <v>15.1</v>
      </c>
      <c r="E36" s="14">
        <f t="shared" si="0"/>
        <v>262.72000000000003</v>
      </c>
      <c r="F36" s="14">
        <f t="shared" si="1"/>
        <v>756.9</v>
      </c>
      <c r="G36" s="14">
        <f t="shared" si="2"/>
        <v>262.72000000000003</v>
      </c>
      <c r="H36" s="14" t="str">
        <f t="shared" si="3"/>
        <v>Eskişehir</v>
      </c>
      <c r="I36" s="14" t="s">
        <v>31</v>
      </c>
    </row>
    <row r="37" spans="1:9" ht="18.5" x14ac:dyDescent="0.45">
      <c r="A37" s="14" t="s">
        <v>2</v>
      </c>
      <c r="B37" s="14">
        <v>41.063769999999998</v>
      </c>
      <c r="C37" s="14">
        <v>27.983059999999998</v>
      </c>
      <c r="D37" s="15">
        <v>15.1</v>
      </c>
      <c r="E37" s="14">
        <f t="shared" si="0"/>
        <v>239.15</v>
      </c>
      <c r="F37" s="14">
        <f t="shared" si="1"/>
        <v>748.9</v>
      </c>
      <c r="G37" s="14">
        <f t="shared" ref="G37:G40" si="4">MIN(E37, F37)</f>
        <v>239.15</v>
      </c>
      <c r="H37" s="14" t="str">
        <f t="shared" ref="H37:H40" si="5">IF(G37=E37, $A$3, $A$4)</f>
        <v>Eskişehir</v>
      </c>
      <c r="I37" s="14" t="s">
        <v>31</v>
      </c>
    </row>
    <row r="38" spans="1:9" ht="18.5" x14ac:dyDescent="0.45">
      <c r="A38" s="14" t="s">
        <v>47</v>
      </c>
      <c r="B38" s="14">
        <v>36.82414</v>
      </c>
      <c r="C38" s="14">
        <v>35.859220000000001</v>
      </c>
      <c r="D38" s="15">
        <v>15.1</v>
      </c>
      <c r="E38" s="14">
        <f t="shared" si="0"/>
        <v>588.85</v>
      </c>
      <c r="F38" s="14">
        <f t="shared" si="1"/>
        <v>97.34</v>
      </c>
      <c r="G38" s="14">
        <f t="shared" si="4"/>
        <v>97.34</v>
      </c>
      <c r="H38" s="14" t="str">
        <f t="shared" si="5"/>
        <v>Mersin</v>
      </c>
      <c r="I38" s="14" t="s">
        <v>31</v>
      </c>
    </row>
    <row r="39" spans="1:9" ht="18.5" x14ac:dyDescent="0.45">
      <c r="A39" s="14" t="s">
        <v>48</v>
      </c>
      <c r="B39" s="14">
        <v>39.983939999999997</v>
      </c>
      <c r="C39" s="14">
        <v>31.63411</v>
      </c>
      <c r="D39" s="15">
        <v>15.1</v>
      </c>
      <c r="E39" s="14">
        <f t="shared" si="0"/>
        <v>114.47</v>
      </c>
      <c r="F39" s="14">
        <f t="shared" si="1"/>
        <v>440.83</v>
      </c>
      <c r="G39" s="14">
        <f t="shared" si="4"/>
        <v>114.47</v>
      </c>
      <c r="H39" s="14" t="str">
        <f t="shared" si="5"/>
        <v>Eskişehir</v>
      </c>
      <c r="I39" s="14" t="s">
        <v>31</v>
      </c>
    </row>
    <row r="40" spans="1:9" ht="18.5" x14ac:dyDescent="0.45">
      <c r="A40" s="14" t="s">
        <v>49</v>
      </c>
      <c r="B40" s="14">
        <v>40.101059999999997</v>
      </c>
      <c r="C40" s="14">
        <v>31.69584</v>
      </c>
      <c r="D40" s="15">
        <v>15.1</v>
      </c>
      <c r="E40" s="14">
        <f t="shared" si="0"/>
        <v>122.03</v>
      </c>
      <c r="F40" s="14">
        <f t="shared" si="1"/>
        <v>447.77</v>
      </c>
      <c r="G40" s="14">
        <f t="shared" si="4"/>
        <v>122.03</v>
      </c>
      <c r="H40" s="14" t="str">
        <f t="shared" si="5"/>
        <v>Eskişehir</v>
      </c>
      <c r="I40" s="14" t="s">
        <v>31</v>
      </c>
    </row>
    <row r="41" spans="1:9" hidden="1" x14ac:dyDescent="0.35">
      <c r="D41">
        <v>12.7</v>
      </c>
    </row>
    <row r="42" spans="1:9" hidden="1" x14ac:dyDescent="0.35">
      <c r="D42">
        <v>12.5</v>
      </c>
    </row>
    <row r="43" spans="1:9" hidden="1" x14ac:dyDescent="0.35">
      <c r="D43">
        <v>12.2</v>
      </c>
    </row>
    <row r="44" spans="1:9" hidden="1" x14ac:dyDescent="0.35">
      <c r="D44">
        <v>12.2</v>
      </c>
    </row>
    <row r="45" spans="1:9" hidden="1" x14ac:dyDescent="0.35">
      <c r="D45">
        <v>12.1</v>
      </c>
    </row>
    <row r="46" spans="1:9" hidden="1" x14ac:dyDescent="0.35">
      <c r="D46">
        <v>10.8</v>
      </c>
    </row>
    <row r="47" spans="1:9" hidden="1" x14ac:dyDescent="0.35">
      <c r="D47">
        <v>10.5</v>
      </c>
    </row>
    <row r="48" spans="1:9" hidden="1" x14ac:dyDescent="0.35">
      <c r="D48">
        <v>10.4</v>
      </c>
    </row>
    <row r="49" spans="4:4" hidden="1" x14ac:dyDescent="0.35">
      <c r="D49">
        <v>10.199999999999999</v>
      </c>
    </row>
    <row r="50" spans="4:4" hidden="1" x14ac:dyDescent="0.35">
      <c r="D50">
        <v>9.6999999999999993</v>
      </c>
    </row>
    <row r="51" spans="4:4" hidden="1" x14ac:dyDescent="0.35">
      <c r="D51">
        <v>9.6</v>
      </c>
    </row>
    <row r="52" spans="4:4" hidden="1" x14ac:dyDescent="0.35">
      <c r="D52">
        <v>9.4</v>
      </c>
    </row>
    <row r="53" spans="4:4" hidden="1" x14ac:dyDescent="0.35">
      <c r="D53">
        <v>8.4</v>
      </c>
    </row>
    <row r="54" spans="4:4" hidden="1" x14ac:dyDescent="0.35">
      <c r="D54">
        <v>8.1999999999999993</v>
      </c>
    </row>
    <row r="55" spans="4:4" hidden="1" x14ac:dyDescent="0.35">
      <c r="D55">
        <v>7.8</v>
      </c>
    </row>
    <row r="56" spans="4:4" hidden="1" x14ac:dyDescent="0.35">
      <c r="D56">
        <v>7.8</v>
      </c>
    </row>
    <row r="57" spans="4:4" hidden="1" x14ac:dyDescent="0.35">
      <c r="D57">
        <v>7.7</v>
      </c>
    </row>
  </sheetData>
  <autoFilter ref="A7:I57" xr:uid="{00000000-0001-0000-0000-000000000000}">
    <filterColumn colId="8">
      <filters>
        <filter val="Kömür"/>
      </filters>
    </filterColumn>
  </autoFilter>
  <mergeCells count="3">
    <mergeCell ref="E6:G6"/>
    <mergeCell ref="A1:C1"/>
    <mergeCell ref="K1:L1"/>
  </mergeCells>
  <conditionalFormatting sqref="A3">
    <cfRule type="containsText" dxfId="13" priority="1" operator="containsText" text="Eskişehir">
      <formula>NOT(ISERROR(SEARCH("Eskişehir",A3)))</formula>
    </cfRule>
    <cfRule type="containsText" dxfId="12" priority="2" operator="containsText" text="Mersin">
      <formula>NOT(ISERROR(SEARCH("Mersin",A3)))</formula>
    </cfRule>
  </conditionalFormatting>
  <conditionalFormatting sqref="E8:E40">
    <cfRule type="expression" dxfId="11" priority="15">
      <formula>AND($E8&lt;$F8, ABS($E8-$F8)&gt;=$L$7)</formula>
    </cfRule>
    <cfRule type="expression" dxfId="10" priority="17">
      <formula>AND($E8&gt;$F8, ABS($E8-$F8)&gt;=$L$7)</formula>
    </cfRule>
  </conditionalFormatting>
  <conditionalFormatting sqref="E7:F7">
    <cfRule type="containsText" dxfId="9" priority="6" operator="containsText" text="Eskişehir">
      <formula>NOT(ISERROR(SEARCH("Eskişehir",E7)))</formula>
    </cfRule>
    <cfRule type="containsText" dxfId="8" priority="7" operator="containsText" text="Mersin">
      <formula>NOT(ISERROR(SEARCH("Mersin",E7)))</formula>
    </cfRule>
  </conditionalFormatting>
  <conditionalFormatting sqref="E8:F40">
    <cfRule type="expression" dxfId="7" priority="13" stopIfTrue="1">
      <formula>ABS($E8-$F8)&lt;$L$7</formula>
    </cfRule>
  </conditionalFormatting>
  <conditionalFormatting sqref="F8:F40">
    <cfRule type="expression" dxfId="6" priority="14">
      <formula>AND($E8&lt;$F8, ABS($E8-$F8)&gt;=$L$7)</formula>
    </cfRule>
    <cfRule type="expression" dxfId="5" priority="16">
      <formula>AND($E8&gt;$F8, ABS($E8-$F8)&gt;=$L$7)</formula>
    </cfRule>
  </conditionalFormatting>
  <conditionalFormatting sqref="H8:H41">
    <cfRule type="containsText" dxfId="4" priority="10" operator="containsText" text="Eskişehir">
      <formula>NOT(ISERROR(SEARCH("Eskişehir",H8)))</formula>
    </cfRule>
    <cfRule type="containsText" dxfId="3" priority="11" operator="containsText" text="Mersin">
      <formula>NOT(ISERROR(SEARCH("Mersin",H8)))</formula>
    </cfRule>
  </conditionalFormatting>
  <conditionalFormatting sqref="I1:I1048576">
    <cfRule type="containsText" dxfId="2" priority="3" operator="containsText" text="Sıvı Yakıt">
      <formula>NOT(ISERROR(SEARCH("Sıvı Yakıt",I1)))</formula>
    </cfRule>
    <cfRule type="containsText" dxfId="1" priority="4" operator="containsText" text="Kömür">
      <formula>NOT(ISERROR(SEARCH("Kömür",I1)))</formula>
    </cfRule>
    <cfRule type="containsText" dxfId="0" priority="5" operator="containsText" text="Doğalgaz">
      <formula>NOT(ISERROR(SEARCH("Doğalgaz",I1)))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canakkan</dc:creator>
  <cp:lastModifiedBy>Barış Bayazıt (Student)</cp:lastModifiedBy>
  <dcterms:created xsi:type="dcterms:W3CDTF">2015-06-05T18:17:20Z</dcterms:created>
  <dcterms:modified xsi:type="dcterms:W3CDTF">2026-05-09T06:28:45Z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184fb2-386a-4647-9f82-bc098daf8ccf_Enabled">
    <vt:lpwstr>true</vt:lpwstr>
  </property>
  <property fmtid="{D5CDD505-2E9C-101B-9397-08002B2CF9AE}" pid="3" name="MSIP_Label_43184fb2-386a-4647-9f82-bc098daf8ccf_SetDate">
    <vt:lpwstr>2026-02-25T10:40:20Z</vt:lpwstr>
  </property>
  <property fmtid="{D5CDD505-2E9C-101B-9397-08002B2CF9AE}" pid="4" name="MSIP_Label_43184fb2-386a-4647-9f82-bc098daf8ccf_Method">
    <vt:lpwstr>Standard</vt:lpwstr>
  </property>
  <property fmtid="{D5CDD505-2E9C-101B-9397-08002B2CF9AE}" pid="5" name="MSIP_Label_43184fb2-386a-4647-9f82-bc098daf8ccf_Name">
    <vt:lpwstr>Halka Açık -Public</vt:lpwstr>
  </property>
  <property fmtid="{D5CDD505-2E9C-101B-9397-08002B2CF9AE}" pid="6" name="MSIP_Label_43184fb2-386a-4647-9f82-bc098daf8ccf_SiteId">
    <vt:lpwstr>0963c99c-9e0a-451d-977b-ba1e1cf94564</vt:lpwstr>
  </property>
  <property fmtid="{D5CDD505-2E9C-101B-9397-08002B2CF9AE}" pid="7" name="MSIP_Label_43184fb2-386a-4647-9f82-bc098daf8ccf_ActionId">
    <vt:lpwstr>3bc37376-ab9d-464d-b7e4-7903ceaff3da</vt:lpwstr>
  </property>
  <property fmtid="{D5CDD505-2E9C-101B-9397-08002B2CF9AE}" pid="8" name="MSIP_Label_43184fb2-386a-4647-9f82-bc098daf8ccf_ContentBits">
    <vt:lpwstr>0</vt:lpwstr>
  </property>
</Properties>
</file>